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Tiers" sheetId="1" state="visible" r:id="rId3"/>
    <sheet name="Architecture" sheetId="2" state="visible" r:id="rId4"/>
    <sheet name="Priority Score" sheetId="3" state="visible" r:id="rId5"/>
    <sheet name="Tech Choices" sheetId="4" state="visible" r:id="rId6"/>
    <sheet name="Open Ite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<sst xmlns="http://schemas.openxmlformats.org/spreadsheetml/2006/main" count="176" uniqueCount="143">
  <si>
    <t xml:space="preserve">Smart Road Pothole Prioritization System: Feature Tiers</t>
  </si>
  <si>
    <t xml:space="preserve">Tier</t>
  </si>
  <si>
    <t xml:space="preserve">Meaning</t>
  </si>
  <si>
    <t xml:space="preserve">Feature</t>
  </si>
  <si>
    <t xml:space="preserve">Maps to problem requirement</t>
  </si>
  <si>
    <t xml:space="preserve">Owner</t>
  </si>
  <si>
    <t xml:space="preserve">Status</t>
  </si>
  <si>
    <t xml:space="preserve">P0</t>
  </si>
  <si>
    <t xml:space="preserve">Must have</t>
  </si>
  <si>
    <t xml:space="preserve">Pothole detection on uploaded images</t>
  </si>
  <si>
    <t xml:space="preserve">Detect potholes from images/video</t>
  </si>
  <si>
    <t xml:space="preserve">Not started</t>
  </si>
  <si>
    <t xml:space="preserve">Size and severity estimate</t>
  </si>
  <si>
    <t xml:space="preserve">Estimate size and severity</t>
  </si>
  <si>
    <t xml:space="preserve">GPS map of detected potholes</t>
  </si>
  <si>
    <t xml:space="preserve">Map potholes using GPS</t>
  </si>
  <si>
    <t xml:space="preserve">Repair priority score</t>
  </si>
  <si>
    <t xml:space="preserve">Calculate repair priority score</t>
  </si>
  <si>
    <t xml:space="preserve">Repair tracker (pending / done)</t>
  </si>
  <si>
    <t xml:space="preserve">Track completed and pending repairs</t>
  </si>
  <si>
    <t xml:space="preserve">P1</t>
  </si>
  <si>
    <t xml:space="preserve">Important</t>
  </si>
  <si>
    <t xml:space="preserve">Traffic density + road importance inputs</t>
  </si>
  <si>
    <t xml:space="preserve">Consider traffic density and road importance</t>
  </si>
  <si>
    <t xml:space="preserve">Repeat-damage flag</t>
  </si>
  <si>
    <t xml:space="preserve">Identify locations with repeated damage</t>
  </si>
  <si>
    <t xml:space="preserve">Maintenance zone clustering</t>
  </si>
  <si>
    <t xml:space="preserve">Group nearby potholes into zones</t>
  </si>
  <si>
    <t xml:space="preserve">P2</t>
  </si>
  <si>
    <t xml:space="preserve">Nice to have</t>
  </si>
  <si>
    <t xml:space="preserve">Video input (frame sampling)</t>
  </si>
  <si>
    <t xml:space="preserve">Repair sequence optimization</t>
  </si>
  <si>
    <t xml:space="preserve">Optimize sequence of repair operations</t>
  </si>
  <si>
    <t xml:space="preserve">Road-condition analytics dashboard</t>
  </si>
  <si>
    <t xml:space="preserve">Generate road-condition analytics</t>
  </si>
  <si>
    <t xml:space="preserve">P3</t>
  </si>
  <si>
    <t xml:space="preserve">Avoid</t>
  </si>
  <si>
    <t xml:space="preserve">Auth, microservices, live camera streaming, mobile app</t>
  </si>
  <si>
    <t xml:space="preserve">Not required by the problem</t>
  </si>
  <si>
    <t xml:space="preserve">Yellow cells = fill in (owner, status). Rule: finish all P0 before real time on P2/P3.</t>
  </si>
  <si>
    <t xml:space="preserve">Pipeline: image to repair order</t>
  </si>
  <si>
    <t xml:space="preserve">Step</t>
  </si>
  <si>
    <t xml:space="preserve">Component</t>
  </si>
  <si>
    <t xml:space="preserve">What it does</t>
  </si>
  <si>
    <t xml:space="preserve">Approach / tech</t>
  </si>
  <si>
    <t xml:space="preserve">Upload</t>
  </si>
  <si>
    <t xml:space="preserve">User uploads image + lat/lng</t>
  </si>
  <si>
    <t xml:space="preserve">Next.js upload page to API endpoint</t>
  </si>
  <si>
    <t xml:space="preserve">Backend API</t>
  </si>
  <si>
    <t xml:space="preserve">Receives data, runs pipeline, stores results</t>
  </si>
  <si>
    <t xml:space="preserve">Python + FastAPI (SQLAlchemy + psycopg)</t>
  </si>
  <si>
    <t xml:space="preserve">Detector</t>
  </si>
  <si>
    <t xml:space="preserve">Finds potholes and bounding boxes</t>
  </si>
  <si>
    <t xml:space="preserve">Pretrained YOLO pothole model (fine-tune if time allows)</t>
  </si>
  <si>
    <t xml:space="preserve">Severity</t>
  </si>
  <si>
    <t xml:space="preserve">Maps bbox size to Low / Medium / High</t>
  </si>
  <si>
    <t xml:space="preserve">bbox area / image area (detection confidence only filters detections)</t>
  </si>
  <si>
    <t xml:space="preserve">Database</t>
  </si>
  <si>
    <t xml:space="preserve">Stores potholes, scores, repair status</t>
  </si>
  <si>
    <t xml:space="preserve">Supabase (Postgres)</t>
  </si>
  <si>
    <t xml:space="preserve">Priority score</t>
  </si>
  <si>
    <t xml:space="preserve">Weighted formula over 4 factors</t>
  </si>
  <si>
    <t xml:space="preserve">See Priority Score sheet</t>
  </si>
  <si>
    <t xml:space="preserve">Zones</t>
  </si>
  <si>
    <t xml:space="preserve">Groups nearby potholes</t>
  </si>
  <si>
    <t xml:space="preserve">DBSCAN on GPS (K-means as simpler fallback)</t>
  </si>
  <si>
    <t xml:space="preserve">Sequence</t>
  </si>
  <si>
    <t xml:space="preserve">Orders repairs inside a zone by priority</t>
  </si>
  <si>
    <t xml:space="preserve">Greedy nearest-neighbour (skip full TSP)</t>
  </si>
  <si>
    <t xml:space="preserve">Map UI</t>
  </si>
  <si>
    <t xml:space="preserve">Shows priority map, zones, repair status</t>
  </si>
  <si>
    <t xml:space="preserve">Next.js (React + Tailwind) + Leaflet</t>
  </si>
  <si>
    <t xml:space="preserve">Caveat: severity is a 2D estimate from the image, not true depth. Say so to judges.</t>
  </si>
  <si>
    <t xml:space="preserve">Priority score model (illustrative, tune before demo)</t>
  </si>
  <si>
    <t xml:space="preserve">Factor</t>
  </si>
  <si>
    <t xml:space="preserve">Weight</t>
  </si>
  <si>
    <t xml:space="preserve">Traffic density</t>
  </si>
  <si>
    <t xml:space="preserve">Road importance</t>
  </si>
  <si>
    <t xml:space="preserve">Repeat damage</t>
  </si>
  <si>
    <t xml:space="preserve">Total (must = 1.00)</t>
  </si>
  <si>
    <t xml:space="preserve">Weights check</t>
  </si>
  <si>
    <t xml:space="preserve">Assumption: weights are our own starting guess, not from a standard. Blue = editable input.</t>
  </si>
  <si>
    <t xml:space="preserve">Example potholes (made-up sample data for demo layout, replace with real detections)</t>
  </si>
  <si>
    <t xml:space="preserve">Pothole ID</t>
  </si>
  <si>
    <t xml:space="preserve">Severity (0-1)</t>
  </si>
  <si>
    <t xml:space="preserve">Traffic (0-1)</t>
  </si>
  <si>
    <t xml:space="preserve">Road importance (0-1)</t>
  </si>
  <si>
    <t xml:space="preserve">Repeat damage (0-1)</t>
  </si>
  <si>
    <t xml:space="preserve">Rank</t>
  </si>
  <si>
    <t xml:space="preserve">Band</t>
  </si>
  <si>
    <t xml:space="preserve">P-001</t>
  </si>
  <si>
    <t xml:space="preserve">P-002</t>
  </si>
  <si>
    <t xml:space="preserve">P-003</t>
  </si>
  <si>
    <t xml:space="preserve">P-004</t>
  </si>
  <si>
    <t xml:space="preserve">P-005</t>
  </si>
  <si>
    <t xml:space="preserve">Band thresholds (0.7 / 0.4) are assumptions to tune.</t>
  </si>
  <si>
    <t xml:space="preserve">Explainable tech choices</t>
  </si>
  <si>
    <t xml:space="preserve">Area</t>
  </si>
  <si>
    <t xml:space="preserve">Choice</t>
  </si>
  <si>
    <t xml:space="preserve">Why (judge-ready)</t>
  </si>
  <si>
    <t xml:space="preserve">Simpler alternative / trade-off</t>
  </si>
  <si>
    <t xml:space="preserve">Detection</t>
  </si>
  <si>
    <t xml:space="preserve">Pretrained YOLO pothole model</t>
  </si>
  <si>
    <t xml:space="preserve">Proven for object detection, fast to integrate, disclose in README</t>
  </si>
  <si>
    <t xml:space="preserve">Classical CV is simpler but far less accurate</t>
  </si>
  <si>
    <t xml:space="preserve">bbox area ratio to Low/Med/High</t>
  </si>
  <si>
    <t xml:space="preserve">Simple, explainable, no depth sensor needed</t>
  </si>
  <si>
    <t xml:space="preserve">2D only; no true depth</t>
  </si>
  <si>
    <t xml:space="preserve">Traffic / road importance</t>
  </si>
  <si>
    <t xml:space="preserve">Lookup by road type + mock traffic values</t>
  </si>
  <si>
    <t xml:space="preserve">Real traffic data is not available in 24h</t>
  </si>
  <si>
    <t xml:space="preserve">State clearly that values are mocked</t>
  </si>
  <si>
    <t xml:space="preserve">DBSCAN on GPS</t>
  </si>
  <si>
    <t xml:space="preserve">No need to pick cluster count; handles noise</t>
  </si>
  <si>
    <t xml:space="preserve">K-means is simpler but needs k</t>
  </si>
  <si>
    <t xml:space="preserve">Greedy nearest-neighbour by priority</t>
  </si>
  <si>
    <t xml:space="preserve">Easy to explain and fast</t>
  </si>
  <si>
    <t xml:space="preserve">Not optimal vs full TSP</t>
  </si>
  <si>
    <t xml:space="preserve">Backend / DB / Storage</t>
  </si>
  <si>
    <t xml:space="preserve">FastAPI + Supabase (Postgres + Storage)</t>
  </si>
  <si>
    <t xml:space="preserve">Shared hosted database for the team, real constraints and transactions, free tier</t>
  </si>
  <si>
    <t xml:space="preserve">SQLite is simpler but not shared; Supabase needs internet (or a local Postgres) for the demo</t>
  </si>
  <si>
    <t xml:space="preserve">Map</t>
  </si>
  <si>
    <t xml:space="preserve">Leaflet via react-leaflet</t>
  </si>
  <si>
    <t xml:space="preserve">Free, simple, good markers/zones; loaded in the browser only</t>
  </si>
  <si>
    <t xml:space="preserve">Google Maps needs API keys</t>
  </si>
  <si>
    <t xml:space="preserve">Frontend</t>
  </si>
  <si>
    <t xml:space="preserve">Next.js + React + TypeScript + Tailwind CSS</t>
  </si>
  <si>
    <t xml:space="preserve">Components, routing and styling out of the box; matches the team's chosen stack</t>
  </si>
  <si>
    <t xml:space="preserve">Plain HTML is simpler but harder to organise</t>
  </si>
  <si>
    <t xml:space="preserve">Open items (fill in)</t>
  </si>
  <si>
    <t xml:space="preserve">Item</t>
  </si>
  <si>
    <t xml:space="preserve">Value / answer</t>
  </si>
  <si>
    <t xml:space="preserve">Problem release time (YYYY-MM-DD HH:MM)</t>
  </si>
  <si>
    <t xml:space="preserve">Submission deadline (YYYY-MM-DD HH:MM)</t>
  </si>
  <si>
    <t xml:space="preserve">Team size</t>
  </si>
  <si>
    <t xml:space="preserve">Who does ML</t>
  </si>
  <si>
    <t xml:space="preserve">Who does backend</t>
  </si>
  <si>
    <t xml:space="preserve">Who does frontend</t>
  </si>
  <si>
    <t xml:space="preserve">Stack comfort (Python OK?)</t>
  </si>
  <si>
    <t xml:space="preserve">GPU / Colab access</t>
  </si>
  <si>
    <t xml:space="preserve">Dataset / model chosen</t>
  </si>
  <si>
    <t xml:space="preserve">Example: Submission deadline -&gt; 2026-10-08 14:00 (format only, not real)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</si>
</sst>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48"/>
    <col collapsed="false" customWidth="true" hidden="false" outlineLevel="0" max="4" min="4" style="1" width="46"/>
    <col collapsed="false" customWidth="true" hidden="false" outlineLevel="0" max="5" min="5" style="1" width="16"/>
    <col collapsed="false" customWidth="true" hidden="false" outlineLevel="0" max="6" min="6" style="1" width="14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customFormat="false" ht="15" hidden="false" customHeight="true" outlineLevel="0" collapsed="false">
      <c r="A4" s="4" t="s">
        <v>7</v>
      </c>
      <c r="B4" s="5" t="s">
        <v>8</v>
      </c>
      <c r="C4" s="5" t="s">
        <v>9</v>
      </c>
      <c r="D4" s="5" t="s">
        <v>10</v>
      </c>
      <c r="E4" s="6"/>
      <c r="F4" s="6" t="s">
        <v>11</v>
      </c>
    </row>
    <row r="5" customFormat="false" ht="15" hidden="false" customHeight="true" outlineLevel="0" collapsed="false">
      <c r="A5" s="4" t="s">
        <v>7</v>
      </c>
      <c r="B5" s="5" t="s">
        <v>8</v>
      </c>
      <c r="C5" s="5" t="s">
        <v>12</v>
      </c>
      <c r="D5" s="5" t="s">
        <v>13</v>
      </c>
      <c r="E5" s="6"/>
      <c r="F5" s="6" t="s">
        <v>11</v>
      </c>
    </row>
    <row r="6" customFormat="false" ht="15" hidden="false" customHeight="true" outlineLevel="0" collapsed="false">
      <c r="A6" s="4" t="s">
        <v>7</v>
      </c>
      <c r="B6" s="5" t="s">
        <v>8</v>
      </c>
      <c r="C6" s="5" t="s">
        <v>14</v>
      </c>
      <c r="D6" s="5" t="s">
        <v>15</v>
      </c>
      <c r="E6" s="6"/>
      <c r="F6" s="6" t="s">
        <v>11</v>
      </c>
    </row>
    <row r="7" customFormat="false" ht="15" hidden="false" customHeight="true" outlineLevel="0" collapsed="false">
      <c r="A7" s="4" t="s">
        <v>7</v>
      </c>
      <c r="B7" s="5" t="s">
        <v>8</v>
      </c>
      <c r="C7" s="5" t="s">
        <v>16</v>
      </c>
      <c r="D7" s="5" t="s">
        <v>17</v>
      </c>
      <c r="E7" s="6"/>
      <c r="F7" s="6" t="s">
        <v>11</v>
      </c>
    </row>
    <row r="8" customFormat="false" ht="15" hidden="false" customHeight="true" outlineLevel="0" collapsed="false">
      <c r="A8" s="4" t="s">
        <v>7</v>
      </c>
      <c r="B8" s="5" t="s">
        <v>8</v>
      </c>
      <c r="C8" s="5" t="s">
        <v>18</v>
      </c>
      <c r="D8" s="5" t="s">
        <v>19</v>
      </c>
      <c r="E8" s="6"/>
      <c r="F8" s="6" t="s">
        <v>11</v>
      </c>
    </row>
    <row r="9" customFormat="false" ht="15" hidden="false" customHeight="true" outlineLevel="0" collapsed="false">
      <c r="A9" s="4" t="s">
        <v>20</v>
      </c>
      <c r="B9" s="5" t="s">
        <v>21</v>
      </c>
      <c r="C9" s="5" t="s">
        <v>22</v>
      </c>
      <c r="D9" s="5" t="s">
        <v>23</v>
      </c>
      <c r="E9" s="6"/>
      <c r="F9" s="6" t="s">
        <v>11</v>
      </c>
    </row>
    <row r="10" customFormat="false" ht="15" hidden="false" customHeight="true" outlineLevel="0" collapsed="false">
      <c r="A10" s="4" t="s">
        <v>20</v>
      </c>
      <c r="B10" s="5" t="s">
        <v>21</v>
      </c>
      <c r="C10" s="5" t="s">
        <v>24</v>
      </c>
      <c r="D10" s="5" t="s">
        <v>25</v>
      </c>
      <c r="E10" s="6"/>
      <c r="F10" s="6" t="s">
        <v>11</v>
      </c>
    </row>
    <row r="11" customFormat="false" ht="15" hidden="false" customHeight="true" outlineLevel="0" collapsed="false">
      <c r="A11" s="4" t="s">
        <v>20</v>
      </c>
      <c r="B11" s="5" t="s">
        <v>21</v>
      </c>
      <c r="C11" s="5" t="s">
        <v>26</v>
      </c>
      <c r="D11" s="5" t="s">
        <v>27</v>
      </c>
      <c r="E11" s="6"/>
      <c r="F11" s="6" t="s">
        <v>11</v>
      </c>
    </row>
    <row r="12" customFormat="false" ht="15" hidden="false" customHeight="true" outlineLevel="0" collapsed="false">
      <c r="A12" s="4" t="s">
        <v>28</v>
      </c>
      <c r="B12" s="5" t="s">
        <v>29</v>
      </c>
      <c r="C12" s="5" t="s">
        <v>30</v>
      </c>
      <c r="D12" s="5" t="s">
        <v>10</v>
      </c>
      <c r="E12" s="6"/>
      <c r="F12" s="6" t="s">
        <v>11</v>
      </c>
    </row>
    <row r="13" customFormat="false" ht="15" hidden="false" customHeight="true" outlineLevel="0" collapsed="false">
      <c r="A13" s="4" t="s">
        <v>28</v>
      </c>
      <c r="B13" s="5" t="s">
        <v>29</v>
      </c>
      <c r="C13" s="5" t="s">
        <v>31</v>
      </c>
      <c r="D13" s="5" t="s">
        <v>32</v>
      </c>
      <c r="E13" s="6"/>
      <c r="F13" s="6" t="s">
        <v>11</v>
      </c>
    </row>
    <row r="14" customFormat="false" ht="15" hidden="false" customHeight="true" outlineLevel="0" collapsed="false">
      <c r="A14" s="4" t="s">
        <v>28</v>
      </c>
      <c r="B14" s="5" t="s">
        <v>29</v>
      </c>
      <c r="C14" s="5" t="s">
        <v>33</v>
      </c>
      <c r="D14" s="5" t="s">
        <v>34</v>
      </c>
      <c r="E14" s="6"/>
      <c r="F14" s="6" t="s">
        <v>11</v>
      </c>
    </row>
    <row r="15" customFormat="false" ht="15" hidden="false" customHeight="true" outlineLevel="0" collapsed="false">
      <c r="A15" s="4" t="s">
        <v>35</v>
      </c>
      <c r="B15" s="5" t="s">
        <v>36</v>
      </c>
      <c r="C15" s="5" t="s">
        <v>37</v>
      </c>
      <c r="D15" s="5" t="s">
        <v>38</v>
      </c>
      <c r="E15" s="6"/>
      <c r="F15" s="6" t="s">
        <v>11</v>
      </c>
    </row>
    <row r="17" customFormat="false" ht="15" hidden="false" customHeight="true" outlineLevel="0" collapsed="false">
      <c r="A17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46"/>
    <col collapsed="false" customWidth="true" hidden="false" outlineLevel="0" max="4" min="4" style="1" width="52"/>
  </cols>
  <sheetData>
    <row r="1" customFormat="false" ht="17.25" hidden="false" customHeight="true" outlineLevel="0" collapsed="false">
      <c r="A1" s="2" t="s">
        <v>40</v>
      </c>
    </row>
    <row r="3" customFormat="false" ht="15" hidden="false" customHeight="true" outlineLevel="0" collapsed="false">
      <c r="A3" s="3" t="s">
        <v>41</v>
      </c>
      <c r="B3" s="3" t="s">
        <v>42</v>
      </c>
      <c r="C3" s="3" t="s">
        <v>43</v>
      </c>
      <c r="D3" s="3" t="s">
        <v>44</v>
      </c>
    </row>
    <row r="4" customFormat="false" ht="15" hidden="false" customHeight="true" outlineLevel="0" collapsed="false">
      <c r="A4" s="5" t="n">
        <v>1</v>
      </c>
      <c r="B4" s="5" t="s">
        <v>45</v>
      </c>
      <c r="C4" s="5" t="s">
        <v>46</v>
      </c>
      <c r="D4" s="5" t="s">
        <v>47</v>
      </c>
    </row>
    <row r="5" customFormat="false" ht="15" hidden="false" customHeight="true" outlineLevel="0" collapsed="false">
      <c r="A5" s="5" t="n">
        <v>2</v>
      </c>
      <c r="B5" s="5" t="s">
        <v>48</v>
      </c>
      <c r="C5" s="5" t="s">
        <v>49</v>
      </c>
      <c r="D5" s="5" t="s">
        <v>50</v>
      </c>
    </row>
    <row r="6" customFormat="false" ht="15" hidden="false" customHeight="true" outlineLevel="0" collapsed="false">
      <c r="A6" s="5" t="n">
        <v>3</v>
      </c>
      <c r="B6" s="5" t="s">
        <v>51</v>
      </c>
      <c r="C6" s="5" t="s">
        <v>52</v>
      </c>
      <c r="D6" s="5" t="s">
        <v>53</v>
      </c>
    </row>
    <row r="7" customFormat="false" ht="15" hidden="false" customHeight="true" outlineLevel="0" collapsed="false">
      <c r="A7" s="5" t="n">
        <v>4</v>
      </c>
      <c r="B7" s="5" t="s">
        <v>54</v>
      </c>
      <c r="C7" s="5" t="s">
        <v>55</v>
      </c>
      <c r="D7" s="5" t="s">
        <v>56</v>
      </c>
    </row>
    <row r="8" customFormat="false" ht="15" hidden="false" customHeight="true" outlineLevel="0" collapsed="false">
      <c r="A8" s="5" t="n">
        <v>5</v>
      </c>
      <c r="B8" s="5" t="s">
        <v>57</v>
      </c>
      <c r="C8" s="5" t="s">
        <v>58</v>
      </c>
      <c r="D8" s="5" t="s">
        <v>59</v>
      </c>
    </row>
    <row r="9" customFormat="false" ht="15" hidden="false" customHeight="true" outlineLevel="0" collapsed="false">
      <c r="A9" s="5" t="n">
        <v>6</v>
      </c>
      <c r="B9" s="5" t="s">
        <v>60</v>
      </c>
      <c r="C9" s="5" t="s">
        <v>61</v>
      </c>
      <c r="D9" s="5" t="s">
        <v>62</v>
      </c>
    </row>
    <row r="10" customFormat="false" ht="15" hidden="false" customHeight="true" outlineLevel="0" collapsed="false">
      <c r="A10" s="5" t="n">
        <v>7</v>
      </c>
      <c r="B10" s="5" t="s">
        <v>63</v>
      </c>
      <c r="C10" s="5" t="s">
        <v>64</v>
      </c>
      <c r="D10" s="5" t="s">
        <v>65</v>
      </c>
    </row>
    <row r="11" customFormat="false" ht="15" hidden="false" customHeight="true" outlineLevel="0" collapsed="false">
      <c r="A11" s="5" t="n">
        <v>8</v>
      </c>
      <c r="B11" s="5" t="s">
        <v>66</v>
      </c>
      <c r="C11" s="5" t="s">
        <v>67</v>
      </c>
      <c r="D11" s="5" t="s">
        <v>68</v>
      </c>
    </row>
    <row r="12" customFormat="false" ht="15" hidden="false" customHeight="true" outlineLevel="0" collapsed="false">
      <c r="A12" s="5" t="n">
        <v>9</v>
      </c>
      <c r="B12" s="5" t="s">
        <v>69</v>
      </c>
      <c r="C12" s="5" t="s">
        <v>70</v>
      </c>
      <c r="D12" s="5" t="s">
        <v>71</v>
      </c>
    </row>
    <row r="14" customFormat="false" ht="15" hidden="false" customHeight="true" outlineLevel="0" collapsed="false">
      <c r="A14" s="7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8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73</v>
      </c>
    </row>
    <row r="3" customFormat="false" ht="15" hidden="false" customHeight="true" outlineLevel="0" collapsed="false">
      <c r="A3" s="3" t="s">
        <v>74</v>
      </c>
      <c r="B3" s="3" t="s">
        <v>75</v>
      </c>
    </row>
    <row r="4" customFormat="false" ht="15" hidden="false" customHeight="true" outlineLevel="0" collapsed="false">
      <c r="A4" s="5" t="s">
        <v>54</v>
      </c>
      <c r="B4" s="8" t="n">
        <v>0.4</v>
      </c>
    </row>
    <row r="5" customFormat="false" ht="15" hidden="false" customHeight="true" outlineLevel="0" collapsed="false">
      <c r="A5" s="5" t="s">
        <v>76</v>
      </c>
      <c r="B5" s="8" t="n">
        <v>0.25</v>
      </c>
    </row>
    <row r="6" customFormat="false" ht="15" hidden="false" customHeight="true" outlineLevel="0" collapsed="false">
      <c r="A6" s="5" t="s">
        <v>77</v>
      </c>
      <c r="B6" s="8" t="n">
        <v>0.2</v>
      </c>
    </row>
    <row r="7" customFormat="false" ht="15" hidden="false" customHeight="true" outlineLevel="0" collapsed="false">
      <c r="A7" s="5" t="s">
        <v>78</v>
      </c>
      <c r="B7" s="8" t="n">
        <v>0.15</v>
      </c>
    </row>
    <row r="8" customFormat="false" ht="15" hidden="false" customHeight="true" outlineLevel="0" collapsed="false">
      <c r="A8" s="4" t="s">
        <v>79</v>
      </c>
      <c r="B8" s="9" t="n">
        <f aca="false">SUM(B4:B7)</f>
        <v>1</v>
      </c>
    </row>
    <row r="9" customFormat="false" ht="15" hidden="false" customHeight="true" outlineLevel="0" collapsed="false">
      <c r="A9" s="4" t="s">
        <v>80</v>
      </c>
      <c r="B9" s="4" t="str">
        <f aca="false">IF(ROUND(B8,2)=1,"OK","Weights must sum to 1")</f>
        <v>OK</v>
      </c>
    </row>
    <row r="10" customFormat="false" ht="15" hidden="false" customHeight="true" outlineLevel="0" collapsed="false">
      <c r="A10" s="7" t="s">
        <v>81</v>
      </c>
    </row>
    <row r="12" customFormat="false" ht="15" hidden="false" customHeight="true" outlineLevel="0" collapsed="false">
      <c r="A12" s="10" t="s">
        <v>82</v>
      </c>
    </row>
    <row r="13" customFormat="false" ht="15" hidden="false" customHeight="true" outlineLevel="0" collapsed="false">
      <c r="A13" s="3" t="s">
        <v>83</v>
      </c>
      <c r="B13" s="3" t="s">
        <v>84</v>
      </c>
      <c r="C13" s="3" t="s">
        <v>85</v>
      </c>
      <c r="D13" s="3" t="s">
        <v>86</v>
      </c>
      <c r="E13" s="3" t="s">
        <v>87</v>
      </c>
      <c r="F13" s="3" t="s">
        <v>60</v>
      </c>
      <c r="G13" s="3" t="s">
        <v>88</v>
      </c>
      <c r="H13" s="3" t="s">
        <v>89</v>
      </c>
    </row>
    <row r="14" customFormat="false" ht="15" hidden="false" customHeight="true" outlineLevel="0" collapsed="false">
      <c r="A14" s="5" t="s">
        <v>90</v>
      </c>
      <c r="B14" s="11" t="n">
        <v>0.9</v>
      </c>
      <c r="C14" s="11" t="n">
        <v>0.8</v>
      </c>
      <c r="D14" s="11" t="n">
        <v>1</v>
      </c>
      <c r="E14" s="11" t="n">
        <v>0.6</v>
      </c>
      <c r="F14" s="12" t="n">
        <f aca="false">B14*$B$4+C14*$B$5+D14*$B$6+E14*$B$7</f>
        <v>0.85</v>
      </c>
      <c r="G14" s="5" t="n">
        <f aca="false">RANK(F14,$F$14:$F$18)</f>
        <v>1</v>
      </c>
      <c r="H14" s="5" t="str">
        <f aca="false">IF(F14&gt;=0.7,"Critical",IF(F14&gt;=0.4,"Moderate","Low"))</f>
        <v>Critical</v>
      </c>
    </row>
    <row r="15" customFormat="false" ht="15" hidden="false" customHeight="true" outlineLevel="0" collapsed="false">
      <c r="A15" s="5" t="s">
        <v>91</v>
      </c>
      <c r="B15" s="11" t="n">
        <v>0.4</v>
      </c>
      <c r="C15" s="11" t="n">
        <v>0.5</v>
      </c>
      <c r="D15" s="11" t="n">
        <v>0.5</v>
      </c>
      <c r="E15" s="11" t="n">
        <v>0.2</v>
      </c>
      <c r="F15" s="12" t="n">
        <f aca="false">B15*$B$4+C15*$B$5+D15*$B$6+E15*$B$7</f>
        <v>0.415</v>
      </c>
      <c r="G15" s="5" t="n">
        <f aca="false">RANK(F15,$F$14:$F$18)</f>
        <v>4</v>
      </c>
      <c r="H15" s="5" t="str">
        <f aca="false">IF(F15&gt;=0.7,"Critical",IF(F15&gt;=0.4,"Moderate","Low"))</f>
        <v>Moderate</v>
      </c>
    </row>
    <row r="16" customFormat="false" ht="15" hidden="false" customHeight="true" outlineLevel="0" collapsed="false">
      <c r="A16" s="5" t="s">
        <v>92</v>
      </c>
      <c r="B16" s="11" t="n">
        <v>0.7</v>
      </c>
      <c r="C16" s="11" t="n">
        <v>0.9</v>
      </c>
      <c r="D16" s="11" t="n">
        <v>0.8</v>
      </c>
      <c r="E16" s="11" t="n">
        <v>1</v>
      </c>
      <c r="F16" s="12" t="n">
        <f aca="false">B16*$B$4+C16*$B$5+D16*$B$6+E16*$B$7</f>
        <v>0.815</v>
      </c>
      <c r="G16" s="5" t="n">
        <f aca="false">RANK(F16,$F$14:$F$18)</f>
        <v>2</v>
      </c>
      <c r="H16" s="5" t="str">
        <f aca="false">IF(F16&gt;=0.7,"Critical",IF(F16&gt;=0.4,"Moderate","Low"))</f>
        <v>Critical</v>
      </c>
    </row>
    <row r="17" customFormat="false" ht="15" hidden="false" customHeight="true" outlineLevel="0" collapsed="false">
      <c r="A17" s="5" t="s">
        <v>93</v>
      </c>
      <c r="B17" s="11" t="n">
        <v>0.2</v>
      </c>
      <c r="C17" s="11" t="n">
        <v>0.3</v>
      </c>
      <c r="D17" s="11" t="n">
        <v>0.3</v>
      </c>
      <c r="E17" s="11" t="n">
        <v>0</v>
      </c>
      <c r="F17" s="12" t="n">
        <f aca="false">B17*$B$4+C17*$B$5+D17*$B$6+E17*$B$7</f>
        <v>0.215</v>
      </c>
      <c r="G17" s="5" t="n">
        <f aca="false">RANK(F17,$F$14:$F$18)</f>
        <v>5</v>
      </c>
      <c r="H17" s="5" t="str">
        <f aca="false">IF(F17&gt;=0.7,"Critical",IF(F17&gt;=0.4,"Moderate","Low"))</f>
        <v>Low</v>
      </c>
    </row>
    <row r="18" customFormat="false" ht="15" hidden="false" customHeight="true" outlineLevel="0" collapsed="false">
      <c r="A18" s="5" t="s">
        <v>94</v>
      </c>
      <c r="B18" s="11" t="n">
        <v>0.6</v>
      </c>
      <c r="C18" s="11" t="n">
        <v>0.4</v>
      </c>
      <c r="D18" s="11" t="n">
        <v>0.5</v>
      </c>
      <c r="E18" s="11" t="n">
        <v>0.4</v>
      </c>
      <c r="F18" s="12" t="n">
        <f aca="false">B18*$B$4+C18*$B$5+D18*$B$6+E18*$B$7</f>
        <v>0.5</v>
      </c>
      <c r="G18" s="5" t="n">
        <f aca="false">RANK(F18,$F$14:$F$18)</f>
        <v>3</v>
      </c>
      <c r="H18" s="5" t="str">
        <f aca="false">IF(F18&gt;=0.7,"Critical",IF(F18&gt;=0.4,"Moderate","Low"))</f>
        <v>Moderate</v>
      </c>
    </row>
    <row r="20" customFormat="false" ht="15" hidden="false" customHeight="true" outlineLevel="0" collapsed="false">
      <c r="A20" s="7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6"/>
    <col collapsed="false" customWidth="true" hidden="false" outlineLevel="0" max="3" min="3" style="1" width="48"/>
    <col collapsed="false" customWidth="true" hidden="false" outlineLevel="0" max="4" min="4" style="1" width="46"/>
  </cols>
  <sheetData>
    <row r="1" customFormat="false" ht="17.25" hidden="false" customHeight="true" outlineLevel="0" collapsed="false">
      <c r="A1" s="2" t="s">
        <v>96</v>
      </c>
    </row>
    <row r="3" customFormat="false" ht="15" hidden="false" customHeight="true" outlineLevel="0" collapsed="false">
      <c r="A3" s="3" t="s">
        <v>97</v>
      </c>
      <c r="B3" s="3" t="s">
        <v>98</v>
      </c>
      <c r="C3" s="3" t="s">
        <v>99</v>
      </c>
      <c r="D3" s="3" t="s">
        <v>100</v>
      </c>
    </row>
    <row r="4" customFormat="false" ht="23.25" hidden="false" customHeight="true" outlineLevel="0" collapsed="false">
      <c r="A4" s="5" t="s">
        <v>101</v>
      </c>
      <c r="B4" s="5" t="s">
        <v>102</v>
      </c>
      <c r="C4" s="5" t="s">
        <v>103</v>
      </c>
      <c r="D4" s="5" t="s">
        <v>104</v>
      </c>
    </row>
    <row r="5" customFormat="false" ht="15" hidden="false" customHeight="true" outlineLevel="0" collapsed="false">
      <c r="A5" s="5" t="s">
        <v>54</v>
      </c>
      <c r="B5" s="5" t="s">
        <v>105</v>
      </c>
      <c r="C5" s="5" t="s">
        <v>106</v>
      </c>
      <c r="D5" s="5" t="s">
        <v>107</v>
      </c>
    </row>
    <row r="6" customFormat="false" ht="15" hidden="false" customHeight="true" outlineLevel="0" collapsed="false">
      <c r="A6" s="5" t="s">
        <v>108</v>
      </c>
      <c r="B6" s="5" t="s">
        <v>109</v>
      </c>
      <c r="C6" s="5" t="s">
        <v>110</v>
      </c>
      <c r="D6" s="5" t="s">
        <v>111</v>
      </c>
    </row>
    <row r="7" customFormat="false" ht="15" hidden="false" customHeight="true" outlineLevel="0" collapsed="false">
      <c r="A7" s="5" t="s">
        <v>63</v>
      </c>
      <c r="B7" s="5" t="s">
        <v>112</v>
      </c>
      <c r="C7" s="5" t="s">
        <v>113</v>
      </c>
      <c r="D7" s="5" t="s">
        <v>114</v>
      </c>
    </row>
    <row r="8" customFormat="false" ht="15" hidden="false" customHeight="true" outlineLevel="0" collapsed="false">
      <c r="A8" s="5" t="s">
        <v>66</v>
      </c>
      <c r="B8" s="5" t="s">
        <v>115</v>
      </c>
      <c r="C8" s="5" t="s">
        <v>116</v>
      </c>
      <c r="D8" s="5" t="s">
        <v>117</v>
      </c>
    </row>
    <row r="9" customFormat="false" ht="15" hidden="false" customHeight="true" outlineLevel="0" collapsed="false">
      <c r="A9" s="5" t="s">
        <v>118</v>
      </c>
      <c r="B9" s="5" t="s">
        <v>119</v>
      </c>
      <c r="C9" s="5" t="s">
        <v>120</v>
      </c>
      <c r="D9" s="5" t="s">
        <v>121</v>
      </c>
    </row>
    <row r="10" customFormat="false" ht="15" hidden="false" customHeight="true" outlineLevel="0" collapsed="false">
      <c r="A10" s="5" t="s">
        <v>122</v>
      </c>
      <c r="B10" s="5" t="s">
        <v>123</v>
      </c>
      <c r="C10" s="5" t="s">
        <v>124</v>
      </c>
      <c r="D10" s="5" t="s">
        <v>125</v>
      </c>
    </row>
    <row r="11" customFormat="false" ht="23.85" hidden="false" customHeight="false" outlineLevel="0" collapsed="false">
      <c r="A11" s="5" t="s">
        <v>126</v>
      </c>
      <c r="B11" s="5" t="s">
        <v>127</v>
      </c>
      <c r="C11" s="5" t="s">
        <v>128</v>
      </c>
      <c r="D11" s="5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40"/>
  </cols>
  <sheetData>
    <row r="1" customFormat="false" ht="17.25" hidden="false" customHeight="true" outlineLevel="0" collapsed="false">
      <c r="A1" s="2" t="s">
        <v>130</v>
      </c>
    </row>
    <row r="3" customFormat="false" ht="15" hidden="false" customHeight="true" outlineLevel="0" collapsed="false">
      <c r="A3" s="3" t="s">
        <v>131</v>
      </c>
      <c r="B3" s="3" t="s">
        <v>132</v>
      </c>
    </row>
    <row r="4" customFormat="false" ht="15" hidden="false" customHeight="true" outlineLevel="0" collapsed="false">
      <c r="A4" s="5" t="s">
        <v>133</v>
      </c>
      <c r="B4" s="6"/>
    </row>
    <row r="5" customFormat="false" ht="15" hidden="false" customHeight="true" outlineLevel="0" collapsed="false">
      <c r="A5" s="5" t="s">
        <v>134</v>
      </c>
      <c r="B5" s="6"/>
    </row>
    <row r="6" customFormat="false" ht="15" hidden="false" customHeight="true" outlineLevel="0" collapsed="false">
      <c r="A6" s="5" t="s">
        <v>135</v>
      </c>
      <c r="B6" s="6"/>
    </row>
    <row r="7" customFormat="false" ht="15" hidden="false" customHeight="true" outlineLevel="0" collapsed="false">
      <c r="A7" s="5" t="s">
        <v>136</v>
      </c>
      <c r="B7" s="6"/>
    </row>
    <row r="8" customFormat="false" ht="15" hidden="false" customHeight="true" outlineLevel="0" collapsed="false">
      <c r="A8" s="5" t="s">
        <v>137</v>
      </c>
      <c r="B8" s="6"/>
    </row>
    <row r="9" customFormat="false" ht="15" hidden="false" customHeight="true" outlineLevel="0" collapsed="false">
      <c r="A9" s="5" t="s">
        <v>138</v>
      </c>
      <c r="B9" s="6"/>
    </row>
    <row r="10" customFormat="false" ht="15" hidden="false" customHeight="true" outlineLevel="0" collapsed="false">
      <c r="A10" s="5" t="s">
        <v>139</v>
      </c>
      <c r="B10" s="6"/>
    </row>
    <row r="11" customFormat="false" ht="15" hidden="false" customHeight="true" outlineLevel="0" collapsed="false">
      <c r="A11" s="5" t="s">
        <v>140</v>
      </c>
      <c r="B11" s="6"/>
    </row>
    <row r="12" customFormat="false" ht="15" hidden="false" customHeight="true" outlineLevel="0" collapsed="false">
      <c r="A12" s="5" t="s">
        <v>141</v>
      </c>
      <c r="B12" s="6"/>
    </row>
    <row r="14" customFormat="false" ht="15" hidden="false" customHeight="true" outlineLevel="0" collapsed="false">
      <c r="A14" s="7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2026-10-07T10:32:07Z</dcterms:created>
  <dc:creator>openpyxl</dc:creator>
  <dc:description/>
  <dc:language>en-US</dc:language>
  <cp:lastModifiedBy/>
  <dcterms:modified xsi:type="dcterms:W3CDTF">2026-10-09T05:49:10Z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